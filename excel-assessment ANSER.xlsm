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iya thomas\Desktop\FUTURA\EXCEL\"/>
    </mc:Choice>
  </mc:AlternateContent>
  <xr:revisionPtr revIDLastSave="0" documentId="13_ncr:1_{BECCC5FA-FCC3-42ED-89C4-4023C00D77D8}" xr6:coauthVersionLast="47" xr6:coauthVersionMax="47" xr10:uidLastSave="{00000000-0000-0000-0000-000000000000}"/>
  <bookViews>
    <workbookView xWindow="-120" yWindow="-120" windowWidth="29040" windowHeight="15720" tabRatio="849" activeTab="6" xr2:uid="{00000000-000D-0000-FFFF-FFFF00000000}"/>
  </bookViews>
  <sheets>
    <sheet name="Instructions" sheetId="22" r:id="rId1"/>
    <sheet name="Task_1" sheetId="15" r:id="rId2"/>
    <sheet name="Task_2" sheetId="18" r:id="rId3"/>
    <sheet name="Task_3" sheetId="16" r:id="rId4"/>
    <sheet name="Table1" sheetId="23" r:id="rId5"/>
    <sheet name="Task_4" sheetId="19" r:id="rId6"/>
    <sheet name="Task_5" sheetId="20" r:id="rId7"/>
    <sheet name="Dataset" sheetId="1" r:id="rId8"/>
  </sheets>
  <functionGroups builtInGroupCount="19"/>
  <definedNames>
    <definedName name="_xlnm._FilterDatabase" localSheetId="7" hidden="1">Dataset!$A$1:$W$40</definedName>
    <definedName name="ExternalData_1" localSheetId="4" hidden="1">Table1!$A$1:$C$13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AO27" i="1"/>
  <c r="AO26" i="1"/>
  <c r="AO25" i="1"/>
  <c r="AN27" i="1"/>
  <c r="AN26" i="1"/>
  <c r="AN25" i="1"/>
  <c r="AM27" i="1"/>
  <c r="AM3" i="1"/>
  <c r="AM26" i="1"/>
  <c r="AL27" i="1"/>
  <c r="AL26" i="1"/>
  <c r="AM25" i="1"/>
  <c r="AL25" i="1"/>
  <c r="AK27" i="1"/>
  <c r="AK26" i="1"/>
  <c r="AK25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3" i="1"/>
  <c r="K11" i="20"/>
  <c r="K12" i="20"/>
  <c r="K13" i="20"/>
  <c r="K14" i="20"/>
  <c r="K15" i="20"/>
  <c r="K16" i="20"/>
  <c r="K17" i="20"/>
  <c r="K18" i="20"/>
  <c r="K10" i="20"/>
  <c r="C13" i="23"/>
  <c r="B16" i="16" a="1"/>
  <c r="B16" i="16" s="1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H4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38DD96-7B34-4ED7-9A4B-3E574657931B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7D8BE934-A030-4C10-A2C1-F5A3282E122E}" keepAlive="1" name="Query - Table1_1" description="Connection to the 'Table1_1' query in the workbook." type="5" refreshedVersion="0" background="1">
    <dbPr connection="Provider=Microsoft.Mashup.OleDb.1;Data Source=$Workbook$;Location=Table1_1;Extended Properties=&quot;&quot;" command="SELECT * FROM [Table1_1]"/>
  </connection>
  <connection id="3" xr16:uid="{49C169F3-0F80-4141-AAED-7BA6B1C7600D}" keepAlive="1" name="Query - Table4" description="Connection to the 'Table4' query in the workbook." type="5" refreshedVersion="0" background="1">
    <dbPr connection="Provider=Microsoft.Mashup.OleDb.1;Data Source=$Workbook$;Location=Table4;Extended Properties=&quot;&quot;" command="SELECT * FROM [Table4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<sst xmlns="http://schemas.openxmlformats.org/spreadsheetml/2006/main" count="386" uniqueCount="195">
  <si>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</si>
  <si>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</si>
  <si>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</si>
  <si>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</si>
  <si>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</si>
  <si>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</si>
  <si>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</si>
  <si>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</si>
  <si>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</si>
  <si>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</si>
  <si>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</si>
  <si>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</si>
  <si>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</si>
  <si>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</si>
  <si>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</si>
  <si>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</si>
  <si>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</si>
  <si>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</si>
  <si>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</si>
  <si>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</si>
  <si>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</si>
  <si>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</si>
  <si>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</si>
  <si>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</si>
  <si>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</si>
  <si>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</si>
  <si>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</si>
  <si>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</si>
  <si>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</si>
  <si>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</si>
  <si>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</si>
  <si>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</si>
  <si>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</si>
  <si>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</si>
  <si>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</si>
  <si>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</si>
  <si>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</si>
  <si>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</si>
  <si>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</si>
  <si>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</si>
  <si>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</si>
  <si>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</si>
  <si>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</si>
  <si>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</si>
  <si>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</si>
  <si>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</si>
  <si>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</si>
  <si>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</si>
  <si>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</si>
  <si>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</si>
  <si>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</si>
  <si>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</si>
  <si>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</si>
  <si>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</si>
  <si>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</si>
  <si>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</si>
  <si>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</si>
  <si>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</si>
  <si>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</si>
  <si>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</si>
  <si>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</si>
  <si>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</si>
  <si>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</si>
  <si>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</si>
  <si>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</si>
  <si>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</si>
  <si>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</si>
  <si>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</si>
  <si>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</si>
  <si>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</si>
  <si>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</si>
  <si>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</si>
  <si>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</si>
  <si>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</si>
  <si>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</si>
  <si>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</si>
  <si>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</si>
  <si>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</si>
  <si>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</si>
  <si>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</si>
  <si>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</si>
  <si>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</si>
  <si>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</si>
  <si>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</si>
  <si>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</si>
  <si>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</si>
  <si>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</si>
  <si>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</si>
  <si>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</si>
  <si>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</si>
  <si>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</si>
  <si>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</si>
  <si>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</si>
  <si>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</si>
  <si>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</si>
  <si>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</si>
  <si>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</si>
  <si>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</si>
  <si>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</si>
  <si>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</si>
  <si>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</si>
  <si>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</si>
  <si>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</si>
  <si>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</si>
  <si>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</si>
  <si>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</si>
  <si>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</si>
  <si>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</si>
  <si>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</si>
  <si>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</si>
  <si>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</si>
  <si>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</si>
  <si>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</si>
  <si>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</si>
  <si>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</si>
  <si>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</si>
  <si>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</si>
  <si>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</si>
  <si>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</si>
  <si>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</si>
  <si>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</si>
  <si>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</si>
  <si>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</si>
  <si>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</si>
  <si>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</si>
  <si>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</si>
  <si>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</si>
  <si>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</si>
  <si>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</si>
  <si>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</si>
  <si>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</si>
  <si>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</si>
  <si>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</si>
  <si>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</si>
  <si>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</si>
  <si>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</si>
  <si>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</si>
  <si>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</si>
  <si>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</si>
  <si>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</si>
  <si>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</si>
  <si>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</si>
  <si>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</si>
  <si>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</si>
  <si>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</si>
  <si>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</si>
  <si>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</si>
  <si>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</si>
  <si>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</si>
  <si>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</si>
  <si>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</si>
  <si>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</si>
  <si>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</si>
  <si>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</si>
  <si>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</si>
  <si>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</si>
  <si>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</si>
  <si>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</si>
  <si>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</si>
  <si>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</si>
  <si>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</si>
  <si>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</si>
  <si>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</si>
  <si>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</si>
  <si>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</si>
  <si>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</si>
  <si>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</si>
  <si>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</si>
  <si>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</si>
  <si>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</si>
  <si>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</si>
  <si>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</si>
  <si>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</si>
  <si>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</si>
  <si>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</si>
  <si>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</si>
  <si>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</si>
  <si>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=SUMIF(H2:H40,"&gt;20")'</t>
  </si>
  <si>
    <t>HOME-&gt;CONDITIONAL FORMATING--&gt;COLOUR SCALE</t>
  </si>
  <si>
    <t>here use textsplit function this function is using spliting to text values</t>
  </si>
  <si>
    <t>how to work:select b16 the put to =sign then type textsplit next open round bracket then type(</t>
  </si>
  <si>
    <t>)</t>
  </si>
  <si>
    <t>TEXTSPLIT(A16,"-"</t>
  </si>
  <si>
    <t>forumula='=TEXTSPLIT(A16,"-")</t>
  </si>
  <si>
    <t>Column1</t>
  </si>
  <si>
    <t>Column2</t>
  </si>
  <si>
    <r>
      <t xml:space="preserve">here iam use  power query method first select data entered column then </t>
    </r>
    <r>
      <rPr>
        <b/>
        <i/>
        <sz val="11"/>
        <color rgb="FF000000"/>
        <rFont val="Calibri"/>
        <family val="2"/>
        <scheme val="minor"/>
      </rPr>
      <t>Data-&gt;get&amp;transform data--&gt;from table/range here new window open</t>
    </r>
  </si>
  <si>
    <r>
      <rPr>
        <b/>
        <i/>
        <sz val="11"/>
        <color rgb="FF000000"/>
        <rFont val="Calibri"/>
        <family val="2"/>
        <scheme val="minor"/>
      </rPr>
      <t>transform</t>
    </r>
    <r>
      <rPr>
        <sz val="10"/>
        <color rgb="FF000000"/>
        <rFont val="Calibri"/>
        <family val="2"/>
        <scheme val="minor"/>
      </rPr>
      <t>--&gt;</t>
    </r>
    <r>
      <rPr>
        <b/>
        <sz val="11"/>
        <color rgb="FF000000"/>
        <rFont val="Calibri"/>
        <family val="2"/>
        <scheme val="minor"/>
      </rPr>
      <t>replace values</t>
    </r>
    <r>
      <rPr>
        <sz val="10"/>
        <color rgb="FF000000"/>
        <rFont val="Calibri"/>
        <family val="2"/>
        <scheme val="minor"/>
      </rPr>
      <t xml:space="preserve"> here we have two option select 2nd option </t>
    </r>
    <r>
      <rPr>
        <b/>
        <i/>
        <sz val="12"/>
        <color rgb="FF000000"/>
        <rFont val="Calibri"/>
        <family val="2"/>
        <scheme val="minor"/>
      </rPr>
      <t>replace with error</t>
    </r>
    <r>
      <rPr>
        <sz val="10"/>
        <color rgb="FF000000"/>
        <rFont val="Calibri"/>
        <family val="2"/>
        <scheme val="minor"/>
      </rPr>
      <t xml:space="preserve"> the new box open then type 20</t>
    </r>
  </si>
  <si>
    <t>sum of sales=sum(range)</t>
  </si>
  <si>
    <t>MINIMUM</t>
  </si>
  <si>
    <t>MAXIMAM</t>
  </si>
  <si>
    <t>AVEGRGR</t>
  </si>
  <si>
    <t>HERE USE INBULID FUCTION XLOOK UP</t>
  </si>
  <si>
    <t>RIGTHCLICK--.FORMATCEL--&gt;DATE</t>
  </si>
  <si>
    <t>FREEZE PANELS--&gt;FREEZE TOP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</si>
</sst>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4" fillId="0" borderId="0" xfId="0" quotePrefix="1" applyFont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0" fillId="0" borderId="0" xfId="0" applyNumberForma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[$-14009]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1"/>
      <tableStyleElement type="headerRow" dxfId="40"/>
    </tableStyle>
  </tableStyles>
  <colors>
    <mruColors>
      <color rgb="FF03B5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D68DB4D-FA4B-420C-9C6A-4BF47E598F5C}" autoFormatId="16" applyNumberFormats="0" applyBorderFormats="0" applyFontFormats="0" applyPatternFormats="0" applyAlignmentFormats="0" applyWidthHeightFormats="0">
  <queryTableRefresh nextId="4">
    <queryTableFields count="3">
      <queryTableField id="1" name="Table_A" tableColumnId="1"/>
      <queryTableField id="2" name="Column1" tableColumnId="2"/>
      <queryTableField id="3" name="Column2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83759C-203A-4B39-BECA-4BD85D2AD2CA}" name="Table1_1" displayName="Table1_1" ref="A1:C13" tableType="queryTable" totalsRowShown="0">
  <autoFilter ref="A1:C13" xr:uid="{0583759C-203A-4B39-BECA-4BD85D2AD2CA}"/>
  <tableColumns count="3">
    <tableColumn id="1" xr3:uid="{D3F73F15-6B8E-4C4A-957A-28B2A18D0C62}" uniqueName="1" name="Table_A" queryTableFieldId="1"/>
    <tableColumn id="2" xr3:uid="{4DF858FC-F1E3-48D2-BC3A-A0E116A794BD}" uniqueName="2" name="Column1" queryTableFieldId="2" dataDxfId="36"/>
    <tableColumn id="3" xr3:uid="{D45308A4-D272-47BC-A025-7ACDC875F89C}" uniqueName="3" name="Column2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D42A2D-A9E2-4007-9C99-CEF78AE63508}" name="Table1" displayName="Table1" ref="A10:C22" totalsRowShown="0">
  <autoFilter ref="A10:C22" xr:uid="{78D42A2D-A9E2-4007-9C99-CEF78AE63508}"/>
  <tableColumns count="3">
    <tableColumn id="1" xr3:uid="{869637C6-D431-473F-A366-4042C2D372F2}" name="Table_A" dataDxfId="39"/>
    <tableColumn id="2" xr3:uid="{6270B700-475C-45B0-82A8-E4F04C3979D1}" name="Column1" dataDxfId="38"/>
    <tableColumn id="3" xr3:uid="{7C0306EA-C30A-4889-AFFA-488295DF0AA9}" name="Column2" dataDxfId="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7F6EC62-7219-42E9-B529-C827514E0C06}" name="Table6" displayName="Table6" ref="A1:X41" totalsRowShown="0" headerRowDxfId="10" dataDxfId="11">
  <autoFilter ref="A1:X41" xr:uid="{F7F6EC62-7219-42E9-B529-C827514E0C06}"/>
  <tableColumns count="24">
    <tableColumn id="1" xr3:uid="{A910119F-43B8-439D-A576-854560EEA343}" name="name" dataDxfId="35"/>
    <tableColumn id="2" xr3:uid="{3A4E611B-31E1-48D4-BABA-11F855D474B0}" name="ID" dataDxfId="34"/>
    <tableColumn id="3" xr3:uid="{8FB58E22-3876-4678-AB4A-5D929B5912CB}" name="start_day" dataDxfId="33"/>
    <tableColumn id="4" xr3:uid="{73A7177E-F5EE-47A3-9917-09D216D6537B}" name="start_time" dataDxfId="32"/>
    <tableColumn id="5" xr3:uid="{BC0E9C84-CCEC-4CF1-B60B-423F7B9DEF10}" name="end_day" dataDxfId="31"/>
    <tableColumn id="6" xr3:uid="{D8C5C5DC-F06C-4FDC-8B6E-578DB4F4B7CA}" name="end_time" dataDxfId="30"/>
    <tableColumn id="7" xr3:uid="{650D6361-678B-4608-90B8-212CF3713680}" name="car1" dataDxfId="29"/>
    <tableColumn id="8" xr3:uid="{34E7B122-2579-4DE2-A87C-9497A3FF5AD9}" name="car2" dataDxfId="28"/>
    <tableColumn id="9" xr3:uid="{1EDE4A41-C62E-4FBB-A279-AC8080683266}" name="car3" dataDxfId="27"/>
    <tableColumn id="10" xr3:uid="{72971B96-1DD6-47A3-9D5C-CC37833C3997}" name="moto1" dataDxfId="26"/>
    <tableColumn id="11" xr3:uid="{7BCA88CB-F670-4BCE-A67B-6C973B6B876D}" name="moto2" dataDxfId="25"/>
    <tableColumn id="12" xr3:uid="{028AA2D0-17D3-4179-ACE3-214CC1BE342C}" name="moto3" dataDxfId="24"/>
    <tableColumn id="13" xr3:uid="{EEAD2372-9F3A-4689-BA27-600F2155628D}" name="bus1" dataDxfId="23"/>
    <tableColumn id="14" xr3:uid="{047E3B22-0FA1-46CE-B06B-56DC57D77B1F}" name="bus2" dataDxfId="22"/>
    <tableColumn id="15" xr3:uid="{B754A38D-5676-452C-9A53-0B9BAE8F3F9E}" name="bus3" dataDxfId="21"/>
    <tableColumn id="16" xr3:uid="{6B937024-CB8A-4B7A-9373-78CA6C0CB54D}" name="rv1" dataDxfId="20"/>
    <tableColumn id="17" xr3:uid="{257AA15B-55B2-4ADC-AA67-416B11D443E0}" name="rv2" dataDxfId="19"/>
    <tableColumn id="18" xr3:uid="{1BE49F72-596A-45C0-8A96-8BA31D02213B}" name="rv3" dataDxfId="18"/>
    <tableColumn id="19" xr3:uid="{82BD86DA-544B-4188-B048-B20F36C07A53}" name="truck1" dataDxfId="17"/>
    <tableColumn id="20" xr3:uid="{412ABED1-94BE-4BAE-9E48-37E915164B97}" name="truck2" dataDxfId="16"/>
    <tableColumn id="21" xr3:uid="{8EE86176-BA22-4847-811E-B087573CAA10}" name="taxi1" dataDxfId="15"/>
    <tableColumn id="22" xr3:uid="{E6A0B97C-0165-4D30-9BA0-CF7594BD88A7}" name="taxi2" dataDxfId="14"/>
    <tableColumn id="23" xr3:uid="{1FDF8A6B-030F-4BA6-BFB5-0AABC4F40565}" name="taxi3" dataDxfId="13"/>
    <tableColumn id="24" xr3:uid="{858C21AB-DC95-45A9-B47C-3AFD0B54026E}" name="date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49.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 t="s">
        <v>178</v>
      </c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 t="s">
        <v>194</v>
      </c>
      <c r="E4" s="1">
        <v>5</v>
      </c>
    </row>
    <row r="5" spans="1:5" x14ac:dyDescent="0.25">
      <c r="A5" s="6">
        <v>3</v>
      </c>
      <c r="B5" s="2" t="s">
        <v>104</v>
      </c>
      <c r="C5" s="4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 t="s">
        <v>193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Normal="100" workbookViewId="0">
      <selection activeCell="J7" sqref="J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  <c r="G6" s="2" t="s">
        <v>192</v>
      </c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12"/>
      <c r="C28" s="12"/>
      <c r="D28" s="12"/>
      <c r="E28" s="12"/>
      <c r="F28" s="8"/>
    </row>
    <row r="29" spans="1:6" ht="15" x14ac:dyDescent="0.25">
      <c r="A29" s="19" t="s">
        <v>83</v>
      </c>
      <c r="B29" s="12"/>
      <c r="C29" s="31"/>
      <c r="D29" s="31"/>
      <c r="E29" s="31"/>
      <c r="F29" s="31"/>
    </row>
    <row r="30" spans="1:6" ht="15" x14ac:dyDescent="0.25">
      <c r="A30" s="19" t="s">
        <v>84</v>
      </c>
      <c r="B30" s="12"/>
      <c r="C30" s="31"/>
      <c r="D30" s="31"/>
      <c r="E30" s="31"/>
      <c r="F30" s="31"/>
    </row>
  </sheetData>
  <phoneticPr fontId="21" type="noConversion"/>
  <conditionalFormatting sqref="A5:F6 A7:A27">
    <cfRule type="duplicateValues" dxfId="9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R54"/>
  <sheetViews>
    <sheetView topLeftCell="A7" zoomScaleNormal="100" workbookViewId="0">
      <selection activeCell="E38" sqref="E38"/>
    </sheetView>
  </sheetViews>
  <sheetFormatPr defaultColWidth="11" defaultRowHeight="15" x14ac:dyDescent="0.25"/>
  <cols>
    <col min="1" max="1" width="39.83203125" style="1" bestFit="1" customWidth="1"/>
    <col min="2" max="9" width="11" style="1"/>
    <col min="10" max="10" width="23.5" style="1" customWidth="1"/>
    <col min="11" max="16384" width="11" style="1"/>
  </cols>
  <sheetData>
    <row r="1" spans="1:18" s="40" customFormat="1" ht="21" x14ac:dyDescent="0.35">
      <c r="A1" s="41" t="s">
        <v>56</v>
      </c>
      <c r="B1" s="40" t="s">
        <v>174</v>
      </c>
    </row>
    <row r="2" spans="1:18" customFormat="1" ht="12.75" x14ac:dyDescent="0.2"/>
    <row r="3" spans="1:18" s="2" customFormat="1" x14ac:dyDescent="0.25">
      <c r="B3" s="1"/>
    </row>
    <row r="4" spans="1:18" s="2" customFormat="1" x14ac:dyDescent="0.25">
      <c r="B4" s="1" t="s">
        <v>151</v>
      </c>
    </row>
    <row r="5" spans="1:18" ht="18.75" x14ac:dyDescent="0.3">
      <c r="A5" s="42" t="s">
        <v>53</v>
      </c>
      <c r="B5" s="39"/>
    </row>
    <row r="6" spans="1:18" ht="18.75" x14ac:dyDescent="0.3">
      <c r="A6" s="42" t="s">
        <v>153</v>
      </c>
      <c r="B6" s="39"/>
    </row>
    <row r="7" spans="1:18" ht="18.75" x14ac:dyDescent="0.3">
      <c r="A7" s="42"/>
      <c r="B7" s="39"/>
    </row>
    <row r="9" spans="1:18" ht="23.25" x14ac:dyDescent="0.35">
      <c r="A9" s="18" t="s">
        <v>165</v>
      </c>
      <c r="I9" s="2"/>
      <c r="J9" s="2"/>
    </row>
    <row r="10" spans="1:18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8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8" ht="23.25" x14ac:dyDescent="0.35">
      <c r="A14" s="18" t="s">
        <v>162</v>
      </c>
    </row>
    <row r="15" spans="1:18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  <c r="H15" s="1" t="s">
        <v>179</v>
      </c>
    </row>
    <row r="16" spans="1:18" x14ac:dyDescent="0.25">
      <c r="A16" s="7" t="s">
        <v>121</v>
      </c>
      <c r="B16" s="12" t="str" cm="1">
        <f t="array" ref="B16:F16">_xlfn.TEXTSPLIT(A16,"-")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  <c r="H16" s="1" t="s">
        <v>180</v>
      </c>
      <c r="P16" s="1" t="s">
        <v>182</v>
      </c>
      <c r="R16" s="1" t="s">
        <v>181</v>
      </c>
    </row>
    <row r="17" spans="1:11" ht="18.75" x14ac:dyDescent="0.3">
      <c r="A17" s="7" t="s">
        <v>122</v>
      </c>
      <c r="B17" s="12" t="str" cm="1">
        <f t="array" ref="B17:F17">_xlfn.TEXTSPLIT(A17,"-")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  <c r="H17" s="39" t="s">
        <v>183</v>
      </c>
      <c r="I17" s="47"/>
      <c r="J17" s="47"/>
      <c r="K17" s="47"/>
    </row>
    <row r="18" spans="1:11" x14ac:dyDescent="0.25">
      <c r="A18" s="7" t="s">
        <v>123</v>
      </c>
      <c r="B18" s="12" t="str" cm="1">
        <f t="array" ref="B18:F18">_xlfn.TEXTSPLIT(A18,"-")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11" x14ac:dyDescent="0.25">
      <c r="A19" s="7" t="s">
        <v>124</v>
      </c>
      <c r="B19" s="12" t="str" cm="1">
        <f t="array" ref="B19:F19">_xlfn.TEXTSPLIT(A19,"-")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11" x14ac:dyDescent="0.25">
      <c r="A20" s="7" t="s">
        <v>125</v>
      </c>
      <c r="B20" s="12" t="str" cm="1">
        <f t="array" ref="B20:F20">_xlfn.TEXTSPLIT(A20,"-")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11" x14ac:dyDescent="0.25">
      <c r="A21" s="7" t="s">
        <v>126</v>
      </c>
      <c r="B21" s="12" t="str" cm="1">
        <f t="array" ref="B21:F21">_xlfn.TEXTSPLIT(A21,"-")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11" x14ac:dyDescent="0.25">
      <c r="A22" s="7" t="s">
        <v>127</v>
      </c>
      <c r="B22" s="12" t="str" cm="1">
        <f t="array" ref="B22:F22">_xlfn.TEXTSPLIT(A22,"-")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11" x14ac:dyDescent="0.25">
      <c r="A23" s="7" t="s">
        <v>128</v>
      </c>
      <c r="B23" s="12" t="str" cm="1">
        <f t="array" ref="B23:F23">_xlfn.TEXTSPLIT(A23,"-")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11" x14ac:dyDescent="0.25">
      <c r="A24" s="7" t="s">
        <v>129</v>
      </c>
      <c r="B24" s="12" t="str" cm="1">
        <f t="array" ref="B24:F24">_xlfn.TEXTSPLIT(A24,"-")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11" x14ac:dyDescent="0.25">
      <c r="A25" s="7" t="s">
        <v>130</v>
      </c>
      <c r="B25" s="12" t="str" cm="1">
        <f t="array" ref="B25:F25">_xlfn.TEXTSPLIT(A25,"-")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11" x14ac:dyDescent="0.25">
      <c r="A26" s="7" t="s">
        <v>131</v>
      </c>
      <c r="B26" s="12" t="str" cm="1">
        <f t="array" ref="B26:F26">_xlfn.TEXTSPLIT(A26,"-")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11" x14ac:dyDescent="0.25">
      <c r="A27" s="7" t="s">
        <v>132</v>
      </c>
      <c r="B27" s="12" t="str" cm="1">
        <f t="array" ref="B27:F27">_xlfn.TEXTSPLIT(A27,"-")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11" x14ac:dyDescent="0.25">
      <c r="A28" s="7" t="s">
        <v>133</v>
      </c>
      <c r="B28" s="12" t="str" cm="1">
        <f t="array" ref="B28:F28">_xlfn.TEXTSPLIT(A28,"-")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11" x14ac:dyDescent="0.25">
      <c r="A29" s="7" t="s">
        <v>134</v>
      </c>
      <c r="B29" s="12" t="str" cm="1">
        <f t="array" ref="B29:F29">_xlfn.TEXTSPLIT(A29,"-")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11" x14ac:dyDescent="0.25">
      <c r="A30" s="7" t="s">
        <v>135</v>
      </c>
      <c r="B30" s="12" t="str" cm="1">
        <f t="array" ref="B30:F30">_xlfn.TEXTSPLIT(A30,"-")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11" x14ac:dyDescent="0.25">
      <c r="A31" s="7" t="s">
        <v>136</v>
      </c>
      <c r="B31" s="12" t="str" cm="1">
        <f t="array" ref="B31:F31">_xlfn.TEXTSPLIT(A31,"-")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11" x14ac:dyDescent="0.25">
      <c r="A32" s="7" t="s">
        <v>137</v>
      </c>
      <c r="B32" s="12" t="str" cm="1">
        <f t="array" ref="B32:F32">_xlfn.TEXTSPLIT(A32,"-")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25">
      <c r="A33" s="7" t="s">
        <v>138</v>
      </c>
      <c r="B33" s="12" t="str" cm="1">
        <f t="array" ref="B33:F33">_xlfn.TEXTSPLIT(A33,"-")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25">
      <c r="A34" s="7" t="s">
        <v>139</v>
      </c>
      <c r="B34" s="12" t="str" cm="1">
        <f t="array" ref="B34:F34">_xlfn.TEXTSPLIT(A34,"-")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25">
      <c r="A35" s="7" t="s">
        <v>140</v>
      </c>
      <c r="B35" s="12" t="str" cm="1">
        <f t="array" ref="B35:F35">_xlfn.TEXTSPLIT(A35,"-")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25">
      <c r="A36" s="7" t="s">
        <v>141</v>
      </c>
      <c r="B36" s="12" t="str" cm="1">
        <f t="array" ref="B36:F36">_xlfn.TEXTSPLIT(A36,"-")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25">
      <c r="A37" s="7" t="s">
        <v>142</v>
      </c>
      <c r="B37" s="12" t="str" cm="1">
        <f t="array" ref="B37:F37">_xlfn.TEXTSPLIT(A37,"-")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25">
      <c r="A38" s="7" t="s">
        <v>143</v>
      </c>
      <c r="B38" s="12" t="str" cm="1">
        <f t="array" ref="B38:F38">_xlfn.TEXTSPLIT(A38,"-")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25">
      <c r="A39" s="7" t="s">
        <v>144</v>
      </c>
      <c r="B39" s="12" t="str" cm="1">
        <f t="array" ref="B39:F39">_xlfn.TEXTSPLIT(A39,"-")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25">
      <c r="A40" s="7" t="s">
        <v>145</v>
      </c>
      <c r="B40" s="12" t="str" cm="1">
        <f t="array" ref="B40:F40">_xlfn.TEXTSPLIT(A40,"-")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25">
      <c r="A41" s="7" t="s">
        <v>146</v>
      </c>
      <c r="B41" s="12" t="str" cm="1">
        <f t="array" ref="B41:F41">_xlfn.TEXTSPLIT(A41,"-")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25">
      <c r="A42" s="7" t="s">
        <v>147</v>
      </c>
      <c r="B42" s="12" t="str" cm="1">
        <f t="array" ref="B42:F42">_xlfn.TEXTSPLIT(A42,"-")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25">
      <c r="A43" s="7" t="s">
        <v>148</v>
      </c>
      <c r="B43" s="12" t="str" cm="1">
        <f t="array" ref="B43:F43">_xlfn.TEXTSPLIT(A43,"-")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25">
      <c r="A44" s="7" t="s">
        <v>149</v>
      </c>
      <c r="B44" s="12" t="str" cm="1">
        <f t="array" ref="B44:F44">_xlfn.TEXTSPLIT(A44,"-")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25">
      <c r="A45" s="7" t="s">
        <v>150</v>
      </c>
      <c r="B45" s="12" t="str" cm="1">
        <f t="array" ref="B45:F45">_xlfn.TEXTSPLIT(A45,"-")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25">
      <c r="A46" s="7" t="s">
        <v>112</v>
      </c>
      <c r="B46" s="12" t="str" cm="1">
        <f t="array" ref="B46:F46">_xlfn.TEXTSPLIT(A46,"-")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25">
      <c r="A47" s="7" t="s">
        <v>113</v>
      </c>
      <c r="B47" s="12" t="str" cm="1">
        <f t="array" ref="B47:F47">_xlfn.TEXTSPLIT(A47,"-")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25">
      <c r="A48" s="7" t="s">
        <v>114</v>
      </c>
      <c r="B48" s="12" t="str" cm="1">
        <f t="array" ref="B48:F48">_xlfn.TEXTSPLIT(A48,"-")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25">
      <c r="A49" s="7" t="s">
        <v>115</v>
      </c>
      <c r="B49" s="12" t="str" cm="1">
        <f t="array" ref="B49:F49">_xlfn.TEXTSPLIT(A49,"-")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25">
      <c r="A50" s="7" t="s">
        <v>116</v>
      </c>
      <c r="B50" s="12" t="str" cm="1">
        <f t="array" ref="B50:F50">_xlfn.TEXTSPLIT(A50,"-")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25">
      <c r="A51" s="7" t="s">
        <v>117</v>
      </c>
      <c r="B51" s="12" t="str" cm="1">
        <f t="array" ref="B51:F51">_xlfn.TEXTSPLIT(A51,"-")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25">
      <c r="A52" s="7" t="s">
        <v>118</v>
      </c>
      <c r="B52" s="12" t="str" cm="1">
        <f t="array" ref="B52:F52">_xlfn.TEXTSPLIT(A52,"-")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25">
      <c r="A53" s="7" t="s">
        <v>119</v>
      </c>
      <c r="B53" s="12" t="str" cm="1">
        <f t="array" ref="B53:F53">_xlfn.TEXTSPLIT(A53,"-")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25">
      <c r="A54" s="9" t="s">
        <v>120</v>
      </c>
      <c r="B54" s="12" t="str" cm="1">
        <f t="array" ref="B54:F54">_xlfn.TEXTSPLIT(A54,"-")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F0421-55C9-4267-BA8C-B667A65DBCD2}">
  <dimension ref="A1:C13"/>
  <sheetViews>
    <sheetView workbookViewId="0">
      <selection sqref="A1:C13"/>
    </sheetView>
  </sheetViews>
  <sheetFormatPr defaultRowHeight="12.75" x14ac:dyDescent="0.2"/>
  <cols>
    <col min="1" max="1" width="11.5" bestFit="1" customWidth="1"/>
    <col min="2" max="2" width="12.5" bestFit="1" customWidth="1"/>
    <col min="3" max="3" width="12.1640625" bestFit="1" customWidth="1"/>
  </cols>
  <sheetData>
    <row r="1" spans="1:3" x14ac:dyDescent="0.2">
      <c r="A1" t="s">
        <v>162</v>
      </c>
      <c r="B1" t="s">
        <v>184</v>
      </c>
      <c r="C1" t="s">
        <v>185</v>
      </c>
    </row>
    <row r="2" spans="1:3" x14ac:dyDescent="0.2">
      <c r="A2" t="s">
        <v>86</v>
      </c>
      <c r="B2" s="48" t="s">
        <v>87</v>
      </c>
      <c r="C2" t="s">
        <v>88</v>
      </c>
    </row>
    <row r="3" spans="1:3" x14ac:dyDescent="0.2">
      <c r="A3">
        <v>44927</v>
      </c>
      <c r="B3" s="48" t="s">
        <v>59</v>
      </c>
      <c r="C3">
        <v>200</v>
      </c>
    </row>
    <row r="4" spans="1:3" x14ac:dyDescent="0.2">
      <c r="A4">
        <v>44928</v>
      </c>
      <c r="B4" s="48" t="s">
        <v>60</v>
      </c>
      <c r="C4">
        <v>20</v>
      </c>
    </row>
    <row r="5" spans="1:3" x14ac:dyDescent="0.2">
      <c r="A5">
        <v>44929</v>
      </c>
      <c r="B5" s="48" t="s">
        <v>61</v>
      </c>
      <c r="C5">
        <v>50</v>
      </c>
    </row>
    <row r="6" spans="1:3" x14ac:dyDescent="0.2">
      <c r="A6">
        <v>44930</v>
      </c>
      <c r="B6" s="48" t="s">
        <v>62</v>
      </c>
      <c r="C6">
        <v>20</v>
      </c>
    </row>
    <row r="7" spans="1:3" x14ac:dyDescent="0.2">
      <c r="A7">
        <v>44931</v>
      </c>
      <c r="B7" s="48" t="s">
        <v>63</v>
      </c>
      <c r="C7">
        <v>10</v>
      </c>
    </row>
    <row r="8" spans="1:3" x14ac:dyDescent="0.2">
      <c r="A8">
        <v>44932</v>
      </c>
      <c r="B8" s="48" t="s">
        <v>154</v>
      </c>
      <c r="C8">
        <v>150</v>
      </c>
    </row>
    <row r="9" spans="1:3" x14ac:dyDescent="0.2">
      <c r="A9">
        <v>44933</v>
      </c>
      <c r="B9" s="48" t="s">
        <v>155</v>
      </c>
      <c r="C9">
        <v>80</v>
      </c>
    </row>
    <row r="10" spans="1:3" x14ac:dyDescent="0.2">
      <c r="A10">
        <v>44934</v>
      </c>
      <c r="B10" s="48" t="s">
        <v>156</v>
      </c>
      <c r="C10">
        <v>20</v>
      </c>
    </row>
    <row r="11" spans="1:3" x14ac:dyDescent="0.2">
      <c r="A11">
        <v>44935</v>
      </c>
      <c r="B11" s="48" t="s">
        <v>157</v>
      </c>
      <c r="C11">
        <v>30</v>
      </c>
    </row>
    <row r="12" spans="1:3" x14ac:dyDescent="0.2">
      <c r="A12">
        <v>44936</v>
      </c>
      <c r="B12" s="48" t="s">
        <v>158</v>
      </c>
      <c r="C12">
        <v>20</v>
      </c>
    </row>
    <row r="13" spans="1:3" x14ac:dyDescent="0.2">
      <c r="B13" s="48" t="s">
        <v>159</v>
      </c>
      <c r="C13">
        <f>SUM(C3:C12)</f>
        <v>600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zoomScaleNormal="100" workbookViewId="0">
      <selection activeCell="F16" sqref="F16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.83203125" style="2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5" ht="21" x14ac:dyDescent="0.35">
      <c r="A1" s="41" t="s">
        <v>85</v>
      </c>
      <c r="B1" s="40" t="s">
        <v>167</v>
      </c>
    </row>
    <row r="2" spans="1:5" ht="18.75" x14ac:dyDescent="0.3">
      <c r="B2" s="39" t="s">
        <v>166</v>
      </c>
    </row>
    <row r="5" spans="1:5" ht="15" x14ac:dyDescent="0.25">
      <c r="B5" s="1" t="s">
        <v>151</v>
      </c>
    </row>
    <row r="6" spans="1:5" ht="15" x14ac:dyDescent="0.25">
      <c r="A6" s="3" t="s">
        <v>53</v>
      </c>
      <c r="B6" s="1"/>
    </row>
    <row r="7" spans="1:5" ht="15" x14ac:dyDescent="0.25">
      <c r="A7" s="3" t="s">
        <v>153</v>
      </c>
      <c r="B7" s="1"/>
    </row>
    <row r="10" spans="1:5" ht="23.25" x14ac:dyDescent="0.35">
      <c r="A10" s="18" t="s">
        <v>162</v>
      </c>
      <c r="B10" s="2" t="s">
        <v>184</v>
      </c>
      <c r="C10" s="2" t="s">
        <v>185</v>
      </c>
    </row>
    <row r="11" spans="1:5" ht="15" x14ac:dyDescent="0.25">
      <c r="A11" s="32" t="s">
        <v>86</v>
      </c>
      <c r="B11" s="17" t="s">
        <v>87</v>
      </c>
      <c r="C11" s="17" t="s">
        <v>88</v>
      </c>
      <c r="E11" s="2" t="s">
        <v>186</v>
      </c>
    </row>
    <row r="12" spans="1:5" ht="15.75" x14ac:dyDescent="0.25">
      <c r="A12" s="32">
        <v>44927</v>
      </c>
      <c r="B12" s="17" t="s">
        <v>59</v>
      </c>
      <c r="C12" s="17">
        <v>200</v>
      </c>
      <c r="E12" s="2" t="s">
        <v>187</v>
      </c>
    </row>
    <row r="13" spans="1:5" ht="15" x14ac:dyDescent="0.25">
      <c r="A13" s="32">
        <v>44928</v>
      </c>
      <c r="B13" s="17" t="s">
        <v>60</v>
      </c>
      <c r="C13" s="17" t="e">
        <v>#N/A</v>
      </c>
      <c r="E13" s="2" t="s">
        <v>188</v>
      </c>
    </row>
    <row r="14" spans="1:5" ht="15" x14ac:dyDescent="0.25">
      <c r="A14" s="32">
        <v>44929</v>
      </c>
      <c r="B14" s="17" t="s">
        <v>61</v>
      </c>
      <c r="C14" s="17">
        <v>50</v>
      </c>
    </row>
    <row r="15" spans="1:5" ht="15" x14ac:dyDescent="0.25">
      <c r="A15" s="32">
        <v>44930</v>
      </c>
      <c r="B15" s="17" t="s">
        <v>62</v>
      </c>
      <c r="C15" s="17" t="e">
        <v>#N/A</v>
      </c>
    </row>
    <row r="16" spans="1:5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5" zoomScale="102" zoomScaleNormal="100" workbookViewId="0">
      <selection activeCell="F20" sqref="F20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K9" s="2" t="s">
        <v>102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K10" s="2">
        <f>SUM(B10:J10)</f>
        <v>2258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K11" s="2">
        <f t="shared" ref="K11:K18" si="0">SUM(B11:J11)</f>
        <v>1698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K12" s="2">
        <f t="shared" si="0"/>
        <v>1417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K13" s="2">
        <f t="shared" si="0"/>
        <v>1399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K14" s="2">
        <f t="shared" si="0"/>
        <v>1329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K15" s="2">
        <f t="shared" si="0"/>
        <v>1379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K16" s="2">
        <f t="shared" si="0"/>
        <v>1719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K17" s="2">
        <f t="shared" si="0"/>
        <v>2039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K18" s="2">
        <f t="shared" si="0"/>
        <v>2329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3">
        <f>SUM(K10,K11)</f>
        <v>3956</v>
      </c>
    </row>
    <row r="24" spans="1:14" ht="15" x14ac:dyDescent="0.25">
      <c r="A24" s="7">
        <v>10100</v>
      </c>
      <c r="B24" s="12">
        <v>10104</v>
      </c>
      <c r="C24" s="43">
        <f t="shared" ref="C24:C35" si="1">SUM(K11,K12)</f>
        <v>3115</v>
      </c>
    </row>
    <row r="25" spans="1:14" ht="15" x14ac:dyDescent="0.25">
      <c r="A25" s="7">
        <v>10108</v>
      </c>
      <c r="B25" s="12">
        <v>10102</v>
      </c>
      <c r="C25" s="43">
        <f t="shared" si="1"/>
        <v>2816</v>
      </c>
    </row>
    <row r="26" spans="1:14" ht="15" x14ac:dyDescent="0.25">
      <c r="A26" s="7">
        <v>10100</v>
      </c>
      <c r="B26" s="12">
        <v>10106</v>
      </c>
      <c r="C26" s="43">
        <f t="shared" si="1"/>
        <v>2728</v>
      </c>
    </row>
    <row r="27" spans="1:14" ht="15" x14ac:dyDescent="0.25">
      <c r="A27" s="7">
        <v>10108</v>
      </c>
      <c r="B27" s="12">
        <v>10110</v>
      </c>
      <c r="C27" s="43">
        <f t="shared" si="1"/>
        <v>2708</v>
      </c>
    </row>
    <row r="28" spans="1:14" ht="15" x14ac:dyDescent="0.25">
      <c r="A28" s="7">
        <v>10102</v>
      </c>
      <c r="B28" s="12">
        <v>10104</v>
      </c>
      <c r="C28" s="43">
        <f t="shared" si="1"/>
        <v>3098</v>
      </c>
    </row>
    <row r="29" spans="1:14" ht="15" x14ac:dyDescent="0.25">
      <c r="A29" s="7">
        <v>10106</v>
      </c>
      <c r="B29" s="12">
        <v>10108</v>
      </c>
      <c r="C29" s="43">
        <f t="shared" si="1"/>
        <v>3758</v>
      </c>
    </row>
    <row r="30" spans="1:14" ht="15" x14ac:dyDescent="0.25">
      <c r="A30" s="7">
        <v>10102</v>
      </c>
      <c r="B30" s="12">
        <v>10106</v>
      </c>
      <c r="C30" s="43">
        <f t="shared" si="1"/>
        <v>4368</v>
      </c>
    </row>
    <row r="31" spans="1:14" ht="15" x14ac:dyDescent="0.25">
      <c r="A31" s="7">
        <v>10110</v>
      </c>
      <c r="B31" s="12">
        <v>10114</v>
      </c>
      <c r="C31" s="43">
        <f t="shared" si="1"/>
        <v>2329</v>
      </c>
    </row>
    <row r="32" spans="1:14" ht="15" x14ac:dyDescent="0.25">
      <c r="A32" s="7">
        <v>10104</v>
      </c>
      <c r="B32" s="12">
        <v>10106</v>
      </c>
      <c r="C32" s="43">
        <f t="shared" si="1"/>
        <v>0</v>
      </c>
    </row>
    <row r="33" spans="1:3" ht="15" x14ac:dyDescent="0.25">
      <c r="A33" s="7">
        <v>10110</v>
      </c>
      <c r="B33" s="12">
        <v>10112</v>
      </c>
      <c r="C33" s="43">
        <f t="shared" si="1"/>
        <v>0</v>
      </c>
    </row>
    <row r="34" spans="1:3" ht="15" x14ac:dyDescent="0.25">
      <c r="A34" s="7">
        <v>10100</v>
      </c>
      <c r="B34" s="12">
        <v>10114</v>
      </c>
      <c r="C34" s="43">
        <f t="shared" si="1"/>
        <v>0</v>
      </c>
    </row>
    <row r="35" spans="1:3" ht="15" x14ac:dyDescent="0.25">
      <c r="A35" s="9">
        <v>10112</v>
      </c>
      <c r="B35" s="13">
        <v>10116</v>
      </c>
      <c r="C35" s="43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41"/>
  <sheetViews>
    <sheetView topLeftCell="T1" zoomScaleNormal="100" workbookViewId="0">
      <pane ySplit="1" topLeftCell="A2" activePane="bottomLeft" state="frozen"/>
      <selection pane="bottomLeft" activeCell="X1" sqref="X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3.1640625" style="1" customWidth="1"/>
    <col min="4" max="4" width="14.33203125" style="24" customWidth="1"/>
    <col min="5" max="5" width="12.5" style="1" customWidth="1"/>
    <col min="6" max="6" width="13.6640625" style="24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35" width="9" style="1"/>
    <col min="36" max="36" width="20.83203125" style="1" bestFit="1" customWidth="1"/>
    <col min="37" max="38" width="9.83203125" style="1" bestFit="1" customWidth="1"/>
    <col min="39" max="16384" width="9" style="1"/>
  </cols>
  <sheetData>
    <row r="1" spans="1:41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  <c r="Z1" s="20"/>
      <c r="AA1" s="21"/>
      <c r="AB1" s="22"/>
      <c r="AC1" s="21"/>
      <c r="AD1" s="22"/>
      <c r="AE1" s="23"/>
    </row>
    <row r="2" spans="1:41" ht="23.25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  <c r="AA2" s="18"/>
      <c r="AJ2" s="20" t="s">
        <v>64</v>
      </c>
      <c r="AK2" s="21" t="s">
        <v>79</v>
      </c>
      <c r="AL2" s="22" t="s">
        <v>71</v>
      </c>
      <c r="AM2" s="21" t="s">
        <v>75</v>
      </c>
      <c r="AN2" s="22" t="s">
        <v>76</v>
      </c>
      <c r="AO2" s="23" t="s">
        <v>77</v>
      </c>
    </row>
    <row r="3" spans="1:41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  <c r="AA3" s="20"/>
      <c r="AB3" s="21"/>
      <c r="AC3" s="22"/>
      <c r="AD3" s="21"/>
      <c r="AE3" s="22"/>
      <c r="AF3" s="23"/>
      <c r="AJ3" s="7" t="s">
        <v>40</v>
      </c>
      <c r="AK3" s="12">
        <f>_xlfn.XLOOKUP(AJ3,A2:A40,G2:G40)</f>
        <v>2.7</v>
      </c>
      <c r="AL3" s="12">
        <f>_xlfn.XLOOKUP(AJ3,A2:A40,N2:N40)</f>
        <v>7.6</v>
      </c>
      <c r="AM3" s="12">
        <f>_xlfn.XLOOKUP(AJ3,A2:A40,R2:R40)</f>
        <v>4.2</v>
      </c>
      <c r="AN3" s="12">
        <f>_xlfn.XLOOKUP(AJ3,A2:A40,T2:T40)</f>
        <v>8.9</v>
      </c>
      <c r="AO3" s="8">
        <f>_xlfn.XLOOKUP(AJ3,A2:A40,V2:V40)</f>
        <v>4.2</v>
      </c>
    </row>
    <row r="4" spans="1:41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  <c r="AA4" s="7"/>
      <c r="AB4" s="12"/>
      <c r="AC4" s="12"/>
      <c r="AD4" s="12"/>
      <c r="AE4" s="12"/>
      <c r="AF4" s="8"/>
      <c r="AJ4" s="7" t="s">
        <v>4</v>
      </c>
      <c r="AK4" s="12">
        <f t="shared" ref="AK4:AK24" si="0">_xlfn.XLOOKUP(AJ4,A3:A41,G3:G41)</f>
        <v>2.7</v>
      </c>
      <c r="AL4" s="12">
        <f t="shared" ref="AL4:AL24" si="1">_xlfn.XLOOKUP(AJ4,A3:A41,N3:N41)</f>
        <v>7.6</v>
      </c>
      <c r="AM4" s="12">
        <f t="shared" ref="AM4:AM24" si="2">_xlfn.XLOOKUP(AJ4,A3:A41,R3:R41)</f>
        <v>4.2</v>
      </c>
      <c r="AN4" s="12">
        <f t="shared" ref="AN4:AN24" si="3">_xlfn.XLOOKUP(AJ4,A3:A41,T3:T41)</f>
        <v>8.9</v>
      </c>
      <c r="AO4" s="8">
        <f t="shared" ref="AO4:AO24" si="4">_xlfn.XLOOKUP(AJ4,A3:A41,V3:V41)</f>
        <v>4.2</v>
      </c>
    </row>
    <row r="5" spans="1:41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  <c r="AA5" s="7"/>
      <c r="AB5" s="12"/>
      <c r="AC5" s="12"/>
      <c r="AD5" s="12"/>
      <c r="AE5" s="12"/>
      <c r="AF5" s="8"/>
      <c r="AJ5" s="7" t="s">
        <v>7</v>
      </c>
      <c r="AK5" s="12">
        <f t="shared" si="0"/>
        <v>3.6</v>
      </c>
      <c r="AL5" s="12">
        <f t="shared" si="1"/>
        <v>11.1</v>
      </c>
      <c r="AM5" s="12">
        <f t="shared" si="2"/>
        <v>5.8</v>
      </c>
      <c r="AN5" s="12">
        <f t="shared" si="3"/>
        <v>12.2</v>
      </c>
      <c r="AO5" s="8">
        <f t="shared" si="4"/>
        <v>5.8</v>
      </c>
    </row>
    <row r="6" spans="1:41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  <c r="AA6" s="7"/>
      <c r="AB6" s="12"/>
      <c r="AC6" s="12"/>
      <c r="AD6" s="12"/>
      <c r="AE6" s="12"/>
      <c r="AF6" s="8"/>
      <c r="AJ6" s="7" t="s">
        <v>8</v>
      </c>
      <c r="AK6" s="12">
        <f t="shared" si="0"/>
        <v>4.9000000000000004</v>
      </c>
      <c r="AL6" s="12">
        <f t="shared" si="1"/>
        <v>13.3</v>
      </c>
      <c r="AM6" s="12">
        <f t="shared" si="2"/>
        <v>8.1</v>
      </c>
      <c r="AN6" s="12">
        <f t="shared" si="3"/>
        <v>17</v>
      </c>
      <c r="AO6" s="8">
        <f t="shared" si="4"/>
        <v>8.1</v>
      </c>
    </row>
    <row r="7" spans="1:41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  <c r="AA7" s="7"/>
      <c r="AB7" s="12"/>
      <c r="AC7" s="12"/>
      <c r="AD7" s="12"/>
      <c r="AE7" s="12"/>
      <c r="AF7" s="8"/>
      <c r="AJ7" s="7" t="s">
        <v>11</v>
      </c>
      <c r="AK7" s="12">
        <f t="shared" si="0"/>
        <v>9.4</v>
      </c>
      <c r="AL7" s="12">
        <f t="shared" si="1"/>
        <v>28.3</v>
      </c>
      <c r="AM7" s="12">
        <f t="shared" si="2"/>
        <v>16.100000000000001</v>
      </c>
      <c r="AN7" s="12">
        <f t="shared" si="3"/>
        <v>32.799999999999997</v>
      </c>
      <c r="AO7" s="8">
        <f t="shared" si="4"/>
        <v>16.100000000000001</v>
      </c>
    </row>
    <row r="8" spans="1:41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  <c r="AA8" s="7"/>
      <c r="AB8" s="12"/>
      <c r="AC8" s="12"/>
      <c r="AD8" s="12"/>
      <c r="AE8" s="12"/>
      <c r="AF8" s="8"/>
      <c r="AJ8" s="7" t="s">
        <v>12</v>
      </c>
      <c r="AK8" s="12">
        <f t="shared" si="0"/>
        <v>11.6</v>
      </c>
      <c r="AL8" s="12">
        <f t="shared" si="1"/>
        <v>35.200000000000003</v>
      </c>
      <c r="AM8" s="12">
        <f t="shared" si="2"/>
        <v>21.3</v>
      </c>
      <c r="AN8" s="12">
        <f t="shared" si="3"/>
        <v>43</v>
      </c>
      <c r="AO8" s="8">
        <f t="shared" si="4"/>
        <v>21.3</v>
      </c>
    </row>
    <row r="9" spans="1:41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  <c r="AA9" s="7"/>
      <c r="AB9" s="12"/>
      <c r="AC9" s="12"/>
      <c r="AD9" s="12"/>
      <c r="AE9" s="12"/>
      <c r="AF9" s="8"/>
      <c r="AJ9" s="7" t="s">
        <v>14</v>
      </c>
      <c r="AK9" s="12">
        <f t="shared" si="0"/>
        <v>18.399999999999999</v>
      </c>
      <c r="AL9" s="12">
        <f t="shared" si="1"/>
        <v>55.6</v>
      </c>
      <c r="AM9" s="12">
        <f t="shared" si="2"/>
        <v>33.799999999999997</v>
      </c>
      <c r="AN9" s="12">
        <f t="shared" si="3"/>
        <v>67.900000000000006</v>
      </c>
      <c r="AO9" s="8">
        <f t="shared" si="4"/>
        <v>33.799999999999997</v>
      </c>
    </row>
    <row r="10" spans="1:41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  <c r="AA10" s="7"/>
      <c r="AB10" s="12"/>
      <c r="AC10" s="12"/>
      <c r="AD10" s="12"/>
      <c r="AE10" s="12"/>
      <c r="AF10" s="8"/>
      <c r="AJ10" s="7" t="s">
        <v>15</v>
      </c>
      <c r="AK10" s="12">
        <f t="shared" si="0"/>
        <v>0</v>
      </c>
      <c r="AL10" s="12">
        <f t="shared" si="1"/>
        <v>0</v>
      </c>
      <c r="AM10" s="12">
        <f t="shared" si="2"/>
        <v>0</v>
      </c>
      <c r="AN10" s="12">
        <f t="shared" si="3"/>
        <v>0</v>
      </c>
      <c r="AO10" s="8">
        <f t="shared" si="4"/>
        <v>0</v>
      </c>
    </row>
    <row r="11" spans="1:41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  <c r="AA11" s="7"/>
      <c r="AB11" s="12"/>
      <c r="AC11" s="12"/>
      <c r="AD11" s="12"/>
      <c r="AE11" s="12"/>
      <c r="AF11" s="8"/>
      <c r="AJ11" s="7" t="s">
        <v>16</v>
      </c>
      <c r="AK11" s="12">
        <f t="shared" si="0"/>
        <v>21.9</v>
      </c>
      <c r="AL11" s="12">
        <f t="shared" si="1"/>
        <v>61.5</v>
      </c>
      <c r="AM11" s="12">
        <f t="shared" si="2"/>
        <v>40.1</v>
      </c>
      <c r="AN11" s="12">
        <f t="shared" si="3"/>
        <v>76.599999999999994</v>
      </c>
      <c r="AO11" s="8">
        <f t="shared" si="4"/>
        <v>40.1</v>
      </c>
    </row>
    <row r="12" spans="1:41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  <c r="AA12" s="7"/>
      <c r="AB12" s="12"/>
      <c r="AC12" s="12"/>
      <c r="AD12" s="12"/>
      <c r="AE12" s="12"/>
      <c r="AF12" s="8"/>
      <c r="AJ12" s="7" t="s">
        <v>18</v>
      </c>
      <c r="AK12" s="12">
        <f t="shared" si="0"/>
        <v>26.8</v>
      </c>
      <c r="AL12" s="12">
        <f t="shared" si="1"/>
        <v>79.599999999999994</v>
      </c>
      <c r="AM12" s="12">
        <f t="shared" si="2"/>
        <v>47.9</v>
      </c>
      <c r="AN12" s="12">
        <f t="shared" si="3"/>
        <v>96.8</v>
      </c>
      <c r="AO12" s="8">
        <f t="shared" si="4"/>
        <v>47.9</v>
      </c>
    </row>
    <row r="13" spans="1:41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  <c r="AA13" s="7"/>
      <c r="AB13" s="12"/>
      <c r="AC13" s="12"/>
      <c r="AD13" s="12"/>
      <c r="AE13" s="12"/>
      <c r="AF13" s="8"/>
      <c r="AJ13" s="7" t="s">
        <v>20</v>
      </c>
      <c r="AK13" s="12">
        <f t="shared" si="0"/>
        <v>28.5</v>
      </c>
      <c r="AL13" s="12">
        <f t="shared" si="1"/>
        <v>85.4</v>
      </c>
      <c r="AM13" s="12">
        <f t="shared" si="2"/>
        <v>52.3</v>
      </c>
      <c r="AN13" s="12">
        <f t="shared" si="3"/>
        <v>106.1</v>
      </c>
      <c r="AO13" s="8">
        <f t="shared" si="4"/>
        <v>52.3</v>
      </c>
    </row>
    <row r="14" spans="1:41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  <c r="AA14" s="7"/>
      <c r="AB14" s="12"/>
      <c r="AC14" s="12"/>
      <c r="AD14" s="12"/>
      <c r="AE14" s="12"/>
      <c r="AF14" s="8"/>
      <c r="AJ14" s="7" t="s">
        <v>22</v>
      </c>
      <c r="AK14" s="12">
        <f t="shared" si="0"/>
        <v>30.7</v>
      </c>
      <c r="AL14" s="12">
        <f t="shared" si="1"/>
        <v>92.1</v>
      </c>
      <c r="AM14" s="12">
        <f t="shared" si="2"/>
        <v>57</v>
      </c>
      <c r="AN14" s="12">
        <f t="shared" si="3"/>
        <v>115.1</v>
      </c>
      <c r="AO14" s="8">
        <f t="shared" si="4"/>
        <v>57</v>
      </c>
    </row>
    <row r="15" spans="1:41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  <c r="AA15" s="7"/>
      <c r="AB15" s="12"/>
      <c r="AC15" s="12"/>
      <c r="AD15" s="12"/>
      <c r="AE15" s="12"/>
      <c r="AF15" s="8"/>
      <c r="AJ15" s="7" t="s">
        <v>23</v>
      </c>
      <c r="AK15" s="12">
        <f t="shared" si="0"/>
        <v>33.799999999999997</v>
      </c>
      <c r="AL15" s="12">
        <f t="shared" si="1"/>
        <v>101.3</v>
      </c>
      <c r="AM15" s="12">
        <f t="shared" si="2"/>
        <v>61.4</v>
      </c>
      <c r="AN15" s="12">
        <f t="shared" si="3"/>
        <v>124.4</v>
      </c>
      <c r="AO15" s="8">
        <f t="shared" si="4"/>
        <v>61.4</v>
      </c>
    </row>
    <row r="16" spans="1:41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  <c r="AA16" s="7"/>
      <c r="AB16" s="12"/>
      <c r="AC16" s="12"/>
      <c r="AD16" s="12"/>
      <c r="AE16" s="12"/>
      <c r="AF16" s="8"/>
      <c r="AJ16" s="7" t="s">
        <v>24</v>
      </c>
      <c r="AK16" s="12">
        <f t="shared" si="0"/>
        <v>34.700000000000003</v>
      </c>
      <c r="AL16" s="12">
        <f t="shared" si="1"/>
        <v>106.1</v>
      </c>
      <c r="AM16" s="12">
        <f t="shared" si="2"/>
        <v>63.6</v>
      </c>
      <c r="AN16" s="12">
        <f t="shared" si="3"/>
        <v>128.6</v>
      </c>
      <c r="AO16" s="8">
        <f t="shared" si="4"/>
        <v>63.6</v>
      </c>
    </row>
    <row r="17" spans="1:41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  <c r="AA17" s="7"/>
      <c r="AB17" s="12"/>
      <c r="AC17" s="12"/>
      <c r="AD17" s="12"/>
      <c r="AE17" s="12"/>
      <c r="AF17" s="8"/>
      <c r="AJ17" s="7" t="s">
        <v>28</v>
      </c>
      <c r="AK17" s="12">
        <f t="shared" si="0"/>
        <v>0</v>
      </c>
      <c r="AL17" s="12">
        <f t="shared" si="1"/>
        <v>0</v>
      </c>
      <c r="AM17" s="12">
        <f t="shared" si="2"/>
        <v>0</v>
      </c>
      <c r="AN17" s="12">
        <f t="shared" si="3"/>
        <v>0</v>
      </c>
      <c r="AO17" s="8">
        <f t="shared" si="4"/>
        <v>0</v>
      </c>
    </row>
    <row r="18" spans="1:41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  <c r="AA18" s="7"/>
      <c r="AB18" s="12"/>
      <c r="AC18" s="12"/>
      <c r="AD18" s="12"/>
      <c r="AE18" s="12"/>
      <c r="AF18" s="8"/>
      <c r="AJ18" s="7" t="s">
        <v>57</v>
      </c>
      <c r="AK18" s="12">
        <f t="shared" si="0"/>
        <v>41.3</v>
      </c>
      <c r="AL18" s="12">
        <f t="shared" si="1"/>
        <v>124.4</v>
      </c>
      <c r="AM18" s="12">
        <f t="shared" si="2"/>
        <v>75</v>
      </c>
      <c r="AN18" s="12">
        <f t="shared" si="3"/>
        <v>151.5</v>
      </c>
      <c r="AO18" s="8">
        <f t="shared" si="4"/>
        <v>75</v>
      </c>
    </row>
    <row r="19" spans="1:41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  <c r="AA19" s="7"/>
      <c r="AB19" s="12"/>
      <c r="AC19" s="12"/>
      <c r="AD19" s="12"/>
      <c r="AE19" s="12"/>
      <c r="AF19" s="8"/>
      <c r="AJ19" s="7" t="s">
        <v>58</v>
      </c>
      <c r="AK19" s="12">
        <f t="shared" si="0"/>
        <v>-1</v>
      </c>
      <c r="AL19" s="12">
        <f t="shared" si="1"/>
        <v>-1</v>
      </c>
      <c r="AM19" s="12">
        <f t="shared" si="2"/>
        <v>-1</v>
      </c>
      <c r="AN19" s="12">
        <f t="shared" si="3"/>
        <v>-1</v>
      </c>
      <c r="AO19" s="8">
        <f t="shared" si="4"/>
        <v>-1</v>
      </c>
    </row>
    <row r="20" spans="1:41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  <c r="AA20" s="7"/>
      <c r="AB20" s="12"/>
      <c r="AC20" s="12"/>
      <c r="AD20" s="12"/>
      <c r="AE20" s="12"/>
      <c r="AF20" s="8"/>
      <c r="AJ20" s="7" t="s">
        <v>31</v>
      </c>
      <c r="AK20" s="12">
        <f t="shared" si="0"/>
        <v>45</v>
      </c>
      <c r="AL20" s="12">
        <f t="shared" si="1"/>
        <v>133.4</v>
      </c>
      <c r="AM20" s="12">
        <f t="shared" si="2"/>
        <v>79.400000000000006</v>
      </c>
      <c r="AN20" s="12">
        <f t="shared" si="3"/>
        <v>160.9</v>
      </c>
      <c r="AO20" s="8">
        <f t="shared" si="4"/>
        <v>79.400000000000006</v>
      </c>
    </row>
    <row r="21" spans="1:41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  <c r="AA21" s="7"/>
      <c r="AB21" s="12"/>
      <c r="AC21" s="12"/>
      <c r="AD21" s="12"/>
      <c r="AE21" s="12"/>
      <c r="AF21" s="8"/>
      <c r="AJ21" s="7" t="s">
        <v>32</v>
      </c>
      <c r="AK21" s="12">
        <f t="shared" si="0"/>
        <v>-1</v>
      </c>
      <c r="AL21" s="12">
        <f t="shared" si="1"/>
        <v>-1</v>
      </c>
      <c r="AM21" s="12">
        <f t="shared" si="2"/>
        <v>-1</v>
      </c>
      <c r="AN21" s="12">
        <f t="shared" si="3"/>
        <v>-1</v>
      </c>
      <c r="AO21" s="8">
        <f t="shared" si="4"/>
        <v>-1</v>
      </c>
    </row>
    <row r="22" spans="1:41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  <c r="AA22" s="7"/>
      <c r="AB22" s="12"/>
      <c r="AC22" s="12"/>
      <c r="AD22" s="12"/>
      <c r="AE22" s="12"/>
      <c r="AF22" s="8"/>
      <c r="AJ22" s="7" t="s">
        <v>34</v>
      </c>
      <c r="AK22" s="12">
        <f t="shared" si="0"/>
        <v>43.3</v>
      </c>
      <c r="AL22" s="12">
        <f t="shared" si="1"/>
        <v>128.6</v>
      </c>
      <c r="AM22" s="12">
        <f t="shared" si="2"/>
        <v>79.400000000000006</v>
      </c>
      <c r="AN22" s="12">
        <f t="shared" si="3"/>
        <v>160.9</v>
      </c>
      <c r="AO22" s="8">
        <f t="shared" si="4"/>
        <v>79.400000000000006</v>
      </c>
    </row>
    <row r="23" spans="1:41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  <c r="AA23" s="7"/>
      <c r="AB23" s="12"/>
      <c r="AC23" s="12"/>
      <c r="AD23" s="12"/>
      <c r="AE23" s="12"/>
      <c r="AF23" s="8"/>
      <c r="AJ23" s="7" t="s">
        <v>37</v>
      </c>
      <c r="AK23" s="12">
        <f t="shared" si="0"/>
        <v>49.1</v>
      </c>
      <c r="AL23" s="12">
        <f t="shared" si="1"/>
        <v>146.80000000000001</v>
      </c>
      <c r="AM23" s="12">
        <f t="shared" si="2"/>
        <v>90.9</v>
      </c>
      <c r="AN23" s="12">
        <f t="shared" si="3"/>
        <v>183.5</v>
      </c>
      <c r="AO23" s="8">
        <f t="shared" si="4"/>
        <v>90.9</v>
      </c>
    </row>
    <row r="24" spans="1:41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  <c r="AA24" s="7"/>
      <c r="AB24" s="12"/>
      <c r="AC24" s="12"/>
      <c r="AD24" s="12"/>
      <c r="AE24" s="12"/>
      <c r="AF24" s="8"/>
      <c r="AJ24" s="7" t="s">
        <v>39</v>
      </c>
      <c r="AK24" s="12">
        <f t="shared" si="0"/>
        <v>51.8</v>
      </c>
      <c r="AL24" s="12">
        <f t="shared" si="1"/>
        <v>156.4</v>
      </c>
      <c r="AM24" s="12">
        <f t="shared" si="2"/>
        <v>93.1</v>
      </c>
      <c r="AN24" s="12">
        <f t="shared" si="3"/>
        <v>188.1</v>
      </c>
      <c r="AO24" s="8">
        <f t="shared" si="4"/>
        <v>93.1</v>
      </c>
    </row>
    <row r="25" spans="1:41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  <c r="Z25" s="7"/>
      <c r="AA25" s="12"/>
      <c r="AB25" s="12"/>
      <c r="AC25" s="12"/>
      <c r="AD25" s="12"/>
      <c r="AE25" s="8"/>
      <c r="AJ25" s="3" t="s">
        <v>189</v>
      </c>
      <c r="AK25" s="1">
        <f>MIN(AK3:AK24)</f>
        <v>-1</v>
      </c>
      <c r="AL25" s="1">
        <f>MIN(AL3:AL24)</f>
        <v>-1</v>
      </c>
      <c r="AM25" s="1">
        <f>MIN(AM3:AM24)</f>
        <v>-1</v>
      </c>
      <c r="AN25" s="1">
        <f>MIN(AN3:AN24)</f>
        <v>-1</v>
      </c>
      <c r="AO25" s="1">
        <f>MIN(AO3:AO24)</f>
        <v>-1</v>
      </c>
    </row>
    <row r="26" spans="1:41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  <c r="Z26" s="19"/>
      <c r="AA26" s="31"/>
      <c r="AB26" s="31"/>
      <c r="AC26" s="31"/>
      <c r="AD26" s="31"/>
      <c r="AE26" s="31"/>
      <c r="AJ26" s="3" t="s">
        <v>190</v>
      </c>
      <c r="AK26" s="1">
        <f>MAX(AK3:AK23)</f>
        <v>49.1</v>
      </c>
      <c r="AL26" s="1">
        <f>MAX(AL3:AL24)</f>
        <v>156.4</v>
      </c>
      <c r="AM26" s="1">
        <f>MAX(AM3:AM24)</f>
        <v>93.1</v>
      </c>
      <c r="AN26" s="1">
        <f>MAX(AN3:AN24)</f>
        <v>188.1</v>
      </c>
      <c r="AO26" s="1">
        <f>MAX(AO3:AO25)</f>
        <v>93.1</v>
      </c>
    </row>
    <row r="27" spans="1:41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  <c r="Z27" s="2"/>
      <c r="AA27" s="2"/>
      <c r="AB27" s="2"/>
      <c r="AC27" s="2"/>
      <c r="AD27" s="2"/>
      <c r="AE27" s="2"/>
      <c r="AJ27" s="3" t="s">
        <v>191</v>
      </c>
      <c r="AK27" s="1">
        <f>AVERAGE(AK3:AK24)</f>
        <v>20.827272727272728</v>
      </c>
      <c r="AL27" s="1">
        <f>AVERAGE(AL3:AL24)</f>
        <v>62.377272727272725</v>
      </c>
      <c r="AM27" s="1">
        <f>AVERAGE(AM3:AN24)</f>
        <v>57.109090909090916</v>
      </c>
      <c r="AN27" s="1">
        <f>AVERAGE(AN3:AN24)</f>
        <v>76.418181818181822</v>
      </c>
      <c r="AO27" s="1">
        <f>AVERAGE(AO3:AO26)</f>
        <v>38.487500000000004</v>
      </c>
    </row>
    <row r="28" spans="1:41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41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41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41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41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8" priority="8"/>
  </conditionalFormatting>
  <conditionalFormatting sqref="B1:B1048576">
    <cfRule type="duplicateValues" dxfId="7" priority="7"/>
  </conditionalFormatting>
  <conditionalFormatting sqref="J1:J1048576">
    <cfRule type="colorScale" priority="5">
      <colorScale>
        <cfvo type="min"/>
        <cfvo type="max"/>
        <color rgb="FFFF0000"/>
        <color rgb="FF03B514"/>
      </colorScale>
    </cfRule>
    <cfRule type="colorScale" priority="6">
      <colorScale>
        <cfvo type="min"/>
        <cfvo type="max"/>
        <color rgb="FF00B050"/>
        <color rgb="FFFF0000"/>
      </colorScale>
    </cfRule>
  </conditionalFormatting>
  <conditionalFormatting sqref="K1:K1048576">
    <cfRule type="colorScale" priority="4">
      <colorScale>
        <cfvo type="min"/>
        <cfvo type="max"/>
        <color rgb="FFFF0000"/>
        <color rgb="FF03B514"/>
      </colorScale>
    </cfRule>
  </conditionalFormatting>
  <conditionalFormatting sqref="L1:L1048576">
    <cfRule type="colorScale" priority="3">
      <colorScale>
        <cfvo type="min"/>
        <cfvo type="max"/>
        <color rgb="FFFF0000"/>
        <color rgb="FF03B514"/>
      </colorScale>
    </cfRule>
  </conditionalFormatting>
  <conditionalFormatting sqref="AJ2:AO2 AJ3:AJ24">
    <cfRule type="duplicateValues" dxfId="6" priority="2"/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EE9213-E495-402F-9763-BEC5D4860C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Task_1</vt:lpstr>
      <vt:lpstr>Task_2</vt:lpstr>
      <vt:lpstr>Task_3</vt:lpstr>
      <vt:lpstr>Table1</vt:lpstr>
      <vt:lpstr>Task_4</vt:lpstr>
      <vt:lpstr>Task_5</vt:lpstr>
      <vt:lpstr>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amalamavunkal@gmail.com</cp:lastModifiedBy>
  <dcterms:created xsi:type="dcterms:W3CDTF">2015-02-10T17:33:11Z</dcterms:created>
  <dcterms:modified xsi:type="dcterms:W3CDTF">2023-12-09T06:16:23Z</dcterms:modified>
</cp:coreProperties>
</file>